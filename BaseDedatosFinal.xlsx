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 UPN MAESTRIA\02 Machine Learning\Trabajo\"/>
    </mc:Choice>
  </mc:AlternateContent>
  <xr:revisionPtr revIDLastSave="0" documentId="13_ncr:1_{F5362383-81DF-4AC0-A372-D3DFD26603F1}" xr6:coauthVersionLast="47" xr6:coauthVersionMax="47" xr10:uidLastSave="{00000000-0000-0000-0000-000000000000}"/>
  <bookViews>
    <workbookView xWindow="-120" yWindow="-120" windowWidth="29040" windowHeight="15720" activeTab="1" xr2:uid="{6573BAFE-3F11-4799-8285-1870F789EB92}"/>
  </bookViews>
  <sheets>
    <sheet name="Data Inicial" sheetId="1" r:id="rId1"/>
    <sheet name="Diccionario" sheetId="2" r:id="rId2"/>
    <sheet name="Data Final" sheetId="3" r:id="rId3"/>
  </sheets>
  <definedNames>
    <definedName name="_xlnm._FilterDatabase" localSheetId="0" hidden="1">'Data Inicial'!$A$1:$F$25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2" l="1"/>
  <c r="S1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R15" i="1"/>
  <c r="O15" i="1"/>
  <c r="Q15" i="1"/>
  <c r="P15" i="1"/>
  <c r="K15" i="1"/>
  <c r="J15" i="1"/>
  <c r="M15" i="1"/>
  <c r="I15" i="1"/>
  <c r="N15" i="1"/>
  <c r="H15" i="1"/>
  <c r="F15" i="1"/>
  <c r="E15" i="1"/>
  <c r="C15" i="1"/>
  <c r="B15" i="1"/>
  <c r="G29" i="1"/>
  <c r="D29" i="1"/>
  <c r="G28" i="1"/>
  <c r="D28" i="1"/>
  <c r="G25" i="1"/>
  <c r="G24" i="1"/>
  <c r="G23" i="1"/>
  <c r="G22" i="1"/>
  <c r="G21" i="1"/>
  <c r="G20" i="1"/>
  <c r="G19" i="1"/>
  <c r="G18" i="1"/>
  <c r="G17" i="1"/>
  <c r="G16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5" i="1"/>
  <c r="D24" i="1"/>
  <c r="D23" i="1"/>
  <c r="D22" i="1"/>
  <c r="D21" i="1"/>
  <c r="D20" i="1"/>
  <c r="D19" i="1"/>
  <c r="D18" i="1"/>
  <c r="D17" i="1"/>
  <c r="D16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15" i="1" l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1" authorId="0" shapeId="0" xr:uid="{84128814-4E83-4F1C-9166-4A68F32DBA3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proyeccion 30 junio 2025</t>
        </r>
      </text>
    </comment>
    <comment ref="N29" authorId="0" shapeId="0" xr:uid="{C6F743CD-B49B-4485-81D2-0B81FB24FF93}">
      <text>
        <r>
          <rPr>
            <b/>
            <sz val="9"/>
            <color indexed="81"/>
            <rFont val="Tahoma"/>
            <charset val="1"/>
          </rPr>
          <t>INCLUYE LIMA Y CALLAO</t>
        </r>
      </text>
    </comment>
  </commentList>
</comments>
</file>

<file path=xl/sharedStrings.xml><?xml version="1.0" encoding="utf-8"?>
<sst xmlns="http://schemas.openxmlformats.org/spreadsheetml/2006/main" count="163" uniqueCount="93">
  <si>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</si>
  <si>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</si>
  <si>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</si>
  <si>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</si>
  <si>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</si>
  <si>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</si>
  <si>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</si>
  <si>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</si>
  <si>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</si>
  <si>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</si>
  <si>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</si>
  <si>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</si>
  <si>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</si>
  <si>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</si>
  <si>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</si>
  <si>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</si>
  <si>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</si>
  <si>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</si>
  <si>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</si>
  <si>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</si>
  <si>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</si>
  <si>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</si>
  <si>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</si>
  <si>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</si>
  <si>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Departamento</t>
  </si>
  <si>
    <t>Num_CMAC</t>
  </si>
  <si>
    <t>Num_CMCP</t>
  </si>
  <si>
    <t>Número de Oficinas de Cajas Municipales de Ahorro y Crédito</t>
  </si>
  <si>
    <t>Número de Oficinas de la Caja Municipal de Crédito Popular</t>
  </si>
  <si>
    <t>Variable</t>
  </si>
  <si>
    <t>Concepto</t>
  </si>
  <si>
    <t>SBS</t>
  </si>
  <si>
    <t>C-1201-di2025</t>
  </si>
  <si>
    <t>Depositos_CMAC_PEN_MM</t>
  </si>
  <si>
    <t>Depositos_CMCP_PEN_MM</t>
  </si>
  <si>
    <t>Depositos en CMAC expresado en PEN MM</t>
  </si>
  <si>
    <t>Depositos en CMCP expresado en PEN MM</t>
  </si>
  <si>
    <t>C-1224-di2025</t>
  </si>
  <si>
    <t>Poblacion_18_70</t>
  </si>
  <si>
    <t>NroLineasTelefoniaMovil</t>
  </si>
  <si>
    <t>Num_Cajas</t>
  </si>
  <si>
    <t>Depositos_Cajas_PEN_MM</t>
  </si>
  <si>
    <t>PoblacionTotal_Censo2017</t>
  </si>
  <si>
    <t>POBLACION PROYECTADA MAYORES DE 18 AÑOS SEGUN DEPARTAMENTO</t>
  </si>
  <si>
    <t>INEI</t>
  </si>
  <si>
    <t>Fuente / Archivo</t>
  </si>
  <si>
    <t>Líneas en servicio de teléfonos móviles, según departamento</t>
  </si>
  <si>
    <t>Población en edad electoral de 18 a 70 años estimada y proyectada al 30 junio 2025</t>
  </si>
  <si>
    <t>OSIPTEL</t>
  </si>
  <si>
    <t>pob_03_2</t>
  </si>
  <si>
    <t>Lima/ Callao</t>
  </si>
  <si>
    <t>Lima Metrop./Prov. Const. Callao 1/</t>
  </si>
  <si>
    <t>Región Lima 2/</t>
  </si>
  <si>
    <t>1/ Comprende: 43 distritos de Lima Metropolitana y 7 distritos de la Provincia Constitucional del Callao.</t>
  </si>
  <si>
    <t>2/ Comprende las provincias de: Barranca, Cajatambo, Canta, Cañete, Huaral, Huarochirí, Huaura, Oyón y Yauyos.</t>
  </si>
  <si>
    <t>Ingreso_Prom_PEN_2024</t>
  </si>
  <si>
    <t>INEI_Ingreso_Promedio_Departamento</t>
  </si>
  <si>
    <t>PEA_ocupada_miles_2024</t>
  </si>
  <si>
    <t>INEI_PEA_Ocupada_por_Departamento</t>
  </si>
  <si>
    <t>PEA_miles_2024</t>
  </si>
  <si>
    <t>INEI_PEA_por_Departamento</t>
  </si>
  <si>
    <t>Prov. Const. del Callao</t>
  </si>
  <si>
    <t>Lima Metropolitana 1/</t>
  </si>
  <si>
    <t>Lima 2/</t>
  </si>
  <si>
    <t>1/ Lima Metropolitana comprende los 43 distritos de la provincia de Lima.</t>
  </si>
  <si>
    <t>2/ Región Lima comprende las provincias de Barranca, Cajatambo, Canta, Cañete, Huaral, Huarochirí, Huaura, Oyón y Yauyos.</t>
  </si>
  <si>
    <t>INEI_Poblacion_NBI_Departamento</t>
  </si>
  <si>
    <t>NBI_%_2024</t>
  </si>
  <si>
    <t>Denuncias_2024</t>
  </si>
  <si>
    <t>INEI_Denuncias_comision_delitos_departamento</t>
  </si>
  <si>
    <t>Conexión_Internet_Fijo</t>
  </si>
  <si>
    <t>OSIPTEL_Conexiones_Internet_Fijo</t>
  </si>
  <si>
    <t>Flag_variable</t>
  </si>
  <si>
    <t>Num_PNP_2026</t>
  </si>
  <si>
    <t>MININTER</t>
  </si>
  <si>
    <t>PEA_no_ocupada_miles_2024</t>
  </si>
  <si>
    <t>Producto Bruto Interno (Valores a precios constantes de 2007 - en miles de soles)</t>
  </si>
  <si>
    <t>PBI_departamentos_2007_2024</t>
  </si>
  <si>
    <t>cuadro numerico de PNP a nivel nacional</t>
  </si>
  <si>
    <t>PBI_miles_PEN</t>
  </si>
  <si>
    <t>TOTAL VARIABLES</t>
  </si>
  <si>
    <t>(PEA_miles_2024) - (PEA_ocupada_miles_2024)</t>
  </si>
  <si>
    <t>(Num_CMAC) + (Num_CMCP)</t>
  </si>
  <si>
    <t>(Depositos_CMAC_PEN_MM) + (Depositos_CMCP_PEN_MM)</t>
  </si>
  <si>
    <t>Líneas en servicio de telefonía movil, 2024</t>
  </si>
  <si>
    <t>Poblacion ocupada, 2024 (en miles)</t>
  </si>
  <si>
    <t>Población Económicamente Activa, 2024 (en miles)</t>
  </si>
  <si>
    <t>Población censada, Censo 2017 (en unidades)</t>
  </si>
  <si>
    <t>Ingreso promedio mensual proveniento del trabajo, 2024 (en Soles)</t>
  </si>
  <si>
    <t>Población con al menos una Necesidad Basica Insatisfecha, 2024 (en %)</t>
  </si>
  <si>
    <t>Denuncias por comisión de delitos, 2024</t>
  </si>
  <si>
    <t>Cantidad de Conexiones (en unidades)</t>
  </si>
  <si>
    <t>Personal de PNP en situación de actividad, 2026 (en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</si>
</sst>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1" fillId="3" borderId="0" xfId="0" applyFont="1" applyFill="1" applyAlignment="1">
      <alignment horizontal="center"/>
    </xf>
    <xf numFmtId="3" fontId="0" fillId="2" borderId="0" xfId="0" applyNumberFormat="1" applyFill="1"/>
    <xf numFmtId="0" fontId="1" fillId="0" borderId="0" xfId="0" applyFont="1" applyAlignment="1">
      <alignment horizontal="center"/>
    </xf>
    <xf numFmtId="3" fontId="0" fillId="3" borderId="0" xfId="0" applyNumberFormat="1" applyFill="1"/>
    <xf numFmtId="3" fontId="1" fillId="0" borderId="0" xfId="0" applyNumberFormat="1" applyFont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0" xfId="0" applyFont="1" applyFill="1"/>
    <xf numFmtId="3" fontId="1" fillId="2" borderId="0" xfId="0" applyNumberFormat="1" applyFont="1" applyFill="1"/>
    <xf numFmtId="3" fontId="1" fillId="3" borderId="0" xfId="0" applyNumberFormat="1" applyFont="1" applyFill="1"/>
    <xf numFmtId="0" fontId="1" fillId="0" borderId="0" xfId="0" applyFont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4" fontId="0" fillId="0" borderId="0" xfId="0" applyNumberFormat="1"/>
    <xf numFmtId="4" fontId="1" fillId="0" borderId="0" xfId="0" applyNumberFormat="1" applyFont="1"/>
    <xf numFmtId="0" fontId="0" fillId="4" borderId="1" xfId="0" applyFill="1" applyBorder="1"/>
    <xf numFmtId="3" fontId="0" fillId="0" borderId="1" xfId="0" applyNumberFormat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1" fillId="0" borderId="1" xfId="0" applyNumberFormat="1" applyFont="1" applyBorder="1"/>
    <xf numFmtId="0" fontId="0" fillId="0" borderId="1" xfId="0" applyBorder="1"/>
    <xf numFmtId="4" fontId="0" fillId="0" borderId="1" xfId="0" applyNumberForma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1" fillId="5" borderId="0" xfId="0" applyFont="1" applyFill="1" applyAlignment="1">
      <alignment horizontal="center"/>
    </xf>
    <xf numFmtId="3" fontId="0" fillId="5" borderId="0" xfId="0" applyNumberFormat="1" applyFill="1"/>
    <xf numFmtId="3" fontId="1" fillId="5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4" fillId="0" borderId="0" xfId="0" quotePrefix="1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B577-1136-4628-8B3F-A2030B6C252E}">
  <dimension ref="A1:S40"/>
  <sheetViews>
    <sheetView zoomScale="85" zoomScaleNormal="85" workbookViewId="0">
      <selection activeCell="H1" sqref="H1"/>
    </sheetView>
  </sheetViews>
  <sheetFormatPr baseColWidth="10" defaultRowHeight="15" x14ac:dyDescent="0.25"/>
  <cols>
    <col min="1" max="1" width="19.42578125" customWidth="1"/>
    <col min="2" max="4" width="19.85546875" customWidth="1"/>
    <col min="5" max="5" width="28.5703125" customWidth="1"/>
    <col min="6" max="7" width="25.28515625" customWidth="1"/>
    <col min="8" max="8" width="23.140625" customWidth="1"/>
    <col min="9" max="11" width="25" customWidth="1"/>
    <col min="12" max="12" width="28" customWidth="1"/>
    <col min="13" max="13" width="25" customWidth="1"/>
    <col min="14" max="14" width="24.28515625" customWidth="1"/>
    <col min="15" max="17" width="25" customWidth="1"/>
    <col min="18" max="19" width="17.7109375" customWidth="1"/>
  </cols>
  <sheetData>
    <row r="1" spans="1:19" s="1" customFormat="1" x14ac:dyDescent="0.25">
      <c r="A1" s="6" t="s">
        <v>24</v>
      </c>
      <c r="B1" s="2" t="s">
        <v>25</v>
      </c>
      <c r="C1" s="2" t="s">
        <v>26</v>
      </c>
      <c r="D1" s="2" t="s">
        <v>40</v>
      </c>
      <c r="E1" s="4" t="s">
        <v>33</v>
      </c>
      <c r="F1" s="4" t="s">
        <v>34</v>
      </c>
      <c r="G1" s="4" t="s">
        <v>41</v>
      </c>
      <c r="H1" s="6" t="s">
        <v>38</v>
      </c>
      <c r="I1" s="6" t="s">
        <v>42</v>
      </c>
      <c r="J1" s="34" t="s">
        <v>57</v>
      </c>
      <c r="K1" s="34" t="s">
        <v>59</v>
      </c>
      <c r="L1" s="34" t="s">
        <v>75</v>
      </c>
      <c r="M1" s="6" t="s">
        <v>55</v>
      </c>
      <c r="N1" s="6" t="s">
        <v>39</v>
      </c>
      <c r="O1" s="6" t="s">
        <v>70</v>
      </c>
      <c r="P1" s="6" t="s">
        <v>67</v>
      </c>
      <c r="Q1" s="6" t="s">
        <v>68</v>
      </c>
      <c r="R1" s="6" t="s">
        <v>73</v>
      </c>
      <c r="S1" s="6" t="s">
        <v>79</v>
      </c>
    </row>
    <row r="2" spans="1:19" x14ac:dyDescent="0.25">
      <c r="A2" t="s">
        <v>0</v>
      </c>
      <c r="B2" s="3">
        <v>20</v>
      </c>
      <c r="C2" s="3">
        <v>0</v>
      </c>
      <c r="D2" s="5">
        <f>SUM(B2:C2)</f>
        <v>20</v>
      </c>
      <c r="E2" s="3">
        <v>202.43001784</v>
      </c>
      <c r="F2" s="3">
        <v>0</v>
      </c>
      <c r="G2" s="7">
        <f>SUM(E2:F2)</f>
        <v>202.43001784</v>
      </c>
      <c r="H2" s="3">
        <v>258797</v>
      </c>
      <c r="I2" s="3">
        <v>379384</v>
      </c>
      <c r="J2" s="35">
        <v>221.2081</v>
      </c>
      <c r="K2" s="3">
        <v>229.8768</v>
      </c>
      <c r="L2" s="35">
        <f>+K2-J2</f>
        <v>8.6687000000000012</v>
      </c>
      <c r="M2" s="3">
        <v>1240.2749586375883</v>
      </c>
      <c r="N2" s="3">
        <v>462385</v>
      </c>
      <c r="O2" s="3">
        <v>30989</v>
      </c>
      <c r="P2" s="23">
        <v>29.213367390410195</v>
      </c>
      <c r="Q2" s="3">
        <v>4745</v>
      </c>
      <c r="R2" s="3">
        <v>1700</v>
      </c>
      <c r="S2" s="3">
        <v>3103841</v>
      </c>
    </row>
    <row r="3" spans="1:19" x14ac:dyDescent="0.25">
      <c r="A3" t="s">
        <v>1</v>
      </c>
      <c r="B3" s="3">
        <v>27</v>
      </c>
      <c r="C3" s="3">
        <v>1</v>
      </c>
      <c r="D3" s="5">
        <f t="shared" ref="D3:D25" si="0">SUM(B3:C3)</f>
        <v>28</v>
      </c>
      <c r="E3" s="3">
        <v>331.45203617999994</v>
      </c>
      <c r="F3" s="3">
        <v>5.6218071600000004</v>
      </c>
      <c r="G3" s="7">
        <f t="shared" ref="G3:G25" si="1">SUM(E3:F3)</f>
        <v>337.07384333999994</v>
      </c>
      <c r="H3" s="3">
        <v>763170</v>
      </c>
      <c r="I3" s="3">
        <v>1083519</v>
      </c>
      <c r="J3" s="35">
        <v>616.94529999999997</v>
      </c>
      <c r="K3" s="3">
        <v>642.11059999999998</v>
      </c>
      <c r="L3" s="35">
        <f t="shared" ref="L3:L25" si="2">+K3-J3</f>
        <v>25.165300000000002</v>
      </c>
      <c r="M3" s="3">
        <v>1514.7391070399158</v>
      </c>
      <c r="N3" s="3">
        <v>1514312</v>
      </c>
      <c r="O3" s="3">
        <v>375597</v>
      </c>
      <c r="P3" s="23">
        <v>16.866747529029098</v>
      </c>
      <c r="Q3" s="3">
        <v>13662</v>
      </c>
      <c r="R3" s="3">
        <v>4857</v>
      </c>
      <c r="S3" s="3">
        <v>21386810</v>
      </c>
    </row>
    <row r="4" spans="1:19" x14ac:dyDescent="0.25">
      <c r="A4" t="s">
        <v>2</v>
      </c>
      <c r="B4" s="3">
        <v>29</v>
      </c>
      <c r="C4" s="3">
        <v>0</v>
      </c>
      <c r="D4" s="5">
        <f t="shared" si="0"/>
        <v>29</v>
      </c>
      <c r="E4" s="3">
        <v>497.06375582999999</v>
      </c>
      <c r="F4" s="3">
        <v>0</v>
      </c>
      <c r="G4" s="7">
        <f t="shared" si="1"/>
        <v>497.06375582999999</v>
      </c>
      <c r="H4" s="3">
        <v>262411</v>
      </c>
      <c r="I4" s="3">
        <v>405759</v>
      </c>
      <c r="J4" s="35">
        <v>246.92869999999999</v>
      </c>
      <c r="K4" s="3">
        <v>255.239</v>
      </c>
      <c r="L4" s="35">
        <f t="shared" si="2"/>
        <v>8.3103000000000122</v>
      </c>
      <c r="M4" s="3">
        <v>1286.3208114223585</v>
      </c>
      <c r="N4" s="3">
        <v>546431</v>
      </c>
      <c r="O4" s="3">
        <v>80266</v>
      </c>
      <c r="P4" s="23">
        <v>7.7543829771661983</v>
      </c>
      <c r="Q4" s="3">
        <v>4003</v>
      </c>
      <c r="R4" s="3">
        <v>2448</v>
      </c>
      <c r="S4" s="3">
        <v>7219959</v>
      </c>
    </row>
    <row r="5" spans="1:19" x14ac:dyDescent="0.25">
      <c r="A5" t="s">
        <v>3</v>
      </c>
      <c r="B5" s="3">
        <v>86</v>
      </c>
      <c r="C5" s="3">
        <v>1</v>
      </c>
      <c r="D5" s="5">
        <f t="shared" si="0"/>
        <v>87</v>
      </c>
      <c r="E5" s="3">
        <v>5887.7063872399995</v>
      </c>
      <c r="F5" s="3">
        <v>2.8126894400000002</v>
      </c>
      <c r="G5" s="7">
        <f t="shared" si="1"/>
        <v>5890.5190766799997</v>
      </c>
      <c r="H5" s="3">
        <v>1088782</v>
      </c>
      <c r="I5" s="3">
        <v>1382730</v>
      </c>
      <c r="J5" s="35">
        <v>735.3288</v>
      </c>
      <c r="K5" s="3">
        <v>789.14329999999995</v>
      </c>
      <c r="L5" s="35">
        <f t="shared" si="2"/>
        <v>53.814499999999953</v>
      </c>
      <c r="M5" s="3">
        <v>2109.9859867115815</v>
      </c>
      <c r="N5" s="3">
        <v>2085637</v>
      </c>
      <c r="O5" s="3">
        <v>731896</v>
      </c>
      <c r="P5" s="23">
        <v>8.6261461068269387</v>
      </c>
      <c r="Q5" s="3">
        <v>27821</v>
      </c>
      <c r="R5" s="3">
        <v>6542</v>
      </c>
      <c r="S5" s="3">
        <v>31636176</v>
      </c>
    </row>
    <row r="6" spans="1:19" x14ac:dyDescent="0.25">
      <c r="A6" t="s">
        <v>4</v>
      </c>
      <c r="B6" s="3">
        <v>29</v>
      </c>
      <c r="C6" s="3">
        <v>0</v>
      </c>
      <c r="D6" s="5">
        <f t="shared" si="0"/>
        <v>29</v>
      </c>
      <c r="E6" s="3">
        <v>467.40607459</v>
      </c>
      <c r="F6" s="3">
        <v>0</v>
      </c>
      <c r="G6" s="7">
        <f t="shared" si="1"/>
        <v>467.40607459</v>
      </c>
      <c r="H6" s="3">
        <v>409877</v>
      </c>
      <c r="I6" s="3">
        <v>616176</v>
      </c>
      <c r="J6" s="35">
        <v>364.31240000000003</v>
      </c>
      <c r="K6" s="3">
        <v>380.40030000000002</v>
      </c>
      <c r="L6" s="35">
        <f t="shared" si="2"/>
        <v>16.087899999999991</v>
      </c>
      <c r="M6" s="3">
        <v>1329.7585616436936</v>
      </c>
      <c r="N6" s="3">
        <v>787367</v>
      </c>
      <c r="O6" s="3">
        <v>143831</v>
      </c>
      <c r="P6" s="23">
        <v>16.61908425971373</v>
      </c>
      <c r="Q6" s="3">
        <v>7610</v>
      </c>
      <c r="R6" s="3">
        <v>2847</v>
      </c>
      <c r="S6" s="3">
        <v>6212319</v>
      </c>
    </row>
    <row r="7" spans="1:19" x14ac:dyDescent="0.25">
      <c r="A7" t="s">
        <v>5</v>
      </c>
      <c r="B7" s="3">
        <v>52</v>
      </c>
      <c r="C7" s="3">
        <v>1</v>
      </c>
      <c r="D7" s="5">
        <f t="shared" si="0"/>
        <v>53</v>
      </c>
      <c r="E7" s="3">
        <v>787.00690797000004</v>
      </c>
      <c r="F7" s="3">
        <v>2.3025386000000001</v>
      </c>
      <c r="G7" s="7">
        <f t="shared" si="1"/>
        <v>789.30944657000009</v>
      </c>
      <c r="H7" s="3">
        <v>896497</v>
      </c>
      <c r="I7" s="3">
        <v>1341012</v>
      </c>
      <c r="J7" s="35">
        <v>757.08720000000005</v>
      </c>
      <c r="K7" s="3">
        <v>789.83479999999997</v>
      </c>
      <c r="L7" s="35">
        <f t="shared" si="2"/>
        <v>32.74759999999992</v>
      </c>
      <c r="M7" s="3">
        <v>1199.9563221619974</v>
      </c>
      <c r="N7" s="3">
        <v>1750254</v>
      </c>
      <c r="O7" s="3">
        <v>192794</v>
      </c>
      <c r="P7" s="23">
        <v>14.696809903212117</v>
      </c>
      <c r="Q7" s="3">
        <v>12017</v>
      </c>
      <c r="R7" s="3">
        <v>4023</v>
      </c>
      <c r="S7" s="3">
        <v>12001887</v>
      </c>
    </row>
    <row r="8" spans="1:19" x14ac:dyDescent="0.25">
      <c r="A8" t="s">
        <v>6</v>
      </c>
      <c r="B8" s="3">
        <v>82</v>
      </c>
      <c r="C8" s="3">
        <v>1</v>
      </c>
      <c r="D8" s="5">
        <f t="shared" si="0"/>
        <v>83</v>
      </c>
      <c r="E8" s="3">
        <v>3225.71097642</v>
      </c>
      <c r="F8" s="3">
        <v>2.79429002</v>
      </c>
      <c r="G8" s="7">
        <f t="shared" si="1"/>
        <v>3228.50526644</v>
      </c>
      <c r="H8" s="3">
        <v>896609</v>
      </c>
      <c r="I8" s="3">
        <v>1205527</v>
      </c>
      <c r="J8" s="35">
        <v>780.40440000000001</v>
      </c>
      <c r="K8" s="3">
        <v>818.22580000000005</v>
      </c>
      <c r="L8" s="35">
        <f t="shared" si="2"/>
        <v>37.82140000000004</v>
      </c>
      <c r="M8" s="3">
        <v>1617.8899805082967</v>
      </c>
      <c r="N8" s="3">
        <v>1744646</v>
      </c>
      <c r="O8" s="3">
        <v>350415</v>
      </c>
      <c r="P8" s="23">
        <v>11.433663429339029</v>
      </c>
      <c r="Q8" s="3">
        <v>16288</v>
      </c>
      <c r="R8" s="3">
        <v>6849</v>
      </c>
      <c r="S8" s="3">
        <v>22767865</v>
      </c>
    </row>
    <row r="9" spans="1:19" x14ac:dyDescent="0.25">
      <c r="A9" t="s">
        <v>7</v>
      </c>
      <c r="B9" s="3">
        <v>16</v>
      </c>
      <c r="C9" s="3">
        <v>0</v>
      </c>
      <c r="D9" s="5">
        <f t="shared" si="0"/>
        <v>16</v>
      </c>
      <c r="E9" s="3">
        <v>259.05235412000002</v>
      </c>
      <c r="F9" s="3">
        <v>0</v>
      </c>
      <c r="G9" s="7">
        <f t="shared" si="1"/>
        <v>259.05235412000002</v>
      </c>
      <c r="H9" s="3">
        <v>192343</v>
      </c>
      <c r="I9" s="3">
        <v>347639</v>
      </c>
      <c r="J9" s="35">
        <v>176.7535</v>
      </c>
      <c r="K9" s="3">
        <v>184.971</v>
      </c>
      <c r="L9" s="35">
        <f t="shared" si="2"/>
        <v>8.2175000000000011</v>
      </c>
      <c r="M9" s="3">
        <v>1297.738249101496</v>
      </c>
      <c r="N9" s="3">
        <v>415883</v>
      </c>
      <c r="O9" s="3">
        <v>40251</v>
      </c>
      <c r="P9" s="23">
        <v>19.226636097383157</v>
      </c>
      <c r="Q9" s="3">
        <v>1667</v>
      </c>
      <c r="R9" s="3">
        <v>1662</v>
      </c>
      <c r="S9" s="3">
        <v>3912627</v>
      </c>
    </row>
    <row r="10" spans="1:19" x14ac:dyDescent="0.25">
      <c r="A10" t="s">
        <v>8</v>
      </c>
      <c r="B10" s="3">
        <v>25</v>
      </c>
      <c r="C10" s="3">
        <v>0</v>
      </c>
      <c r="D10" s="5">
        <f t="shared" si="0"/>
        <v>25</v>
      </c>
      <c r="E10" s="3">
        <v>394.59359469000003</v>
      </c>
      <c r="F10" s="3">
        <v>0</v>
      </c>
      <c r="G10" s="7">
        <f t="shared" si="1"/>
        <v>394.59359469000003</v>
      </c>
      <c r="H10" s="3">
        <v>455980</v>
      </c>
      <c r="I10" s="3">
        <v>721047</v>
      </c>
      <c r="J10" s="35">
        <v>364.79399999999998</v>
      </c>
      <c r="K10" s="3">
        <v>383.66930000000002</v>
      </c>
      <c r="L10" s="35">
        <f t="shared" si="2"/>
        <v>18.875300000000038</v>
      </c>
      <c r="M10" s="3">
        <v>1360.9046783442336</v>
      </c>
      <c r="N10" s="3">
        <v>994463</v>
      </c>
      <c r="O10" s="3">
        <v>155454</v>
      </c>
      <c r="P10" s="23">
        <v>23.701437880868191</v>
      </c>
      <c r="Q10" s="3">
        <v>10506</v>
      </c>
      <c r="R10" s="3">
        <v>3530</v>
      </c>
      <c r="S10" s="3">
        <v>6924290</v>
      </c>
    </row>
    <row r="11" spans="1:19" x14ac:dyDescent="0.25">
      <c r="A11" t="s">
        <v>9</v>
      </c>
      <c r="B11" s="3">
        <v>48</v>
      </c>
      <c r="C11" s="3">
        <v>1</v>
      </c>
      <c r="D11" s="5">
        <f t="shared" si="0"/>
        <v>49</v>
      </c>
      <c r="E11" s="3">
        <v>1518.4532156099999</v>
      </c>
      <c r="F11" s="3">
        <v>2.7061233500000004</v>
      </c>
      <c r="G11" s="7">
        <f t="shared" si="1"/>
        <v>1521.15933896</v>
      </c>
      <c r="H11" s="3">
        <v>679349</v>
      </c>
      <c r="I11" s="3">
        <v>850765</v>
      </c>
      <c r="J11" s="35">
        <v>488.8032</v>
      </c>
      <c r="K11" s="3">
        <v>529.48</v>
      </c>
      <c r="L11" s="35">
        <f t="shared" si="2"/>
        <v>40.676800000000014</v>
      </c>
      <c r="M11" s="3">
        <v>1886.2142209852177</v>
      </c>
      <c r="N11" s="3">
        <v>1285755</v>
      </c>
      <c r="O11" s="3">
        <v>515638</v>
      </c>
      <c r="P11" s="23">
        <v>9.1522284137620016</v>
      </c>
      <c r="Q11" s="3">
        <v>13933</v>
      </c>
      <c r="R11" s="3">
        <v>3535</v>
      </c>
      <c r="S11" s="3">
        <v>21439833</v>
      </c>
    </row>
    <row r="12" spans="1:19" x14ac:dyDescent="0.25">
      <c r="A12" t="s">
        <v>10</v>
      </c>
      <c r="B12" s="3">
        <v>81</v>
      </c>
      <c r="C12" s="3">
        <v>1</v>
      </c>
      <c r="D12" s="5">
        <f t="shared" si="0"/>
        <v>82</v>
      </c>
      <c r="E12" s="3">
        <v>2853.4424726600005</v>
      </c>
      <c r="F12" s="3">
        <v>3.3094836400000007</v>
      </c>
      <c r="G12" s="7">
        <f t="shared" si="1"/>
        <v>2856.7519563000005</v>
      </c>
      <c r="H12" s="3">
        <v>863674</v>
      </c>
      <c r="I12" s="3">
        <v>1246038</v>
      </c>
      <c r="J12" s="35">
        <v>687.45439999999996</v>
      </c>
      <c r="K12" s="3">
        <v>725.60559999999998</v>
      </c>
      <c r="L12" s="35">
        <f t="shared" si="2"/>
        <v>38.151200000000017</v>
      </c>
      <c r="M12" s="3">
        <v>1364.4162893261478</v>
      </c>
      <c r="N12" s="3">
        <v>1775140</v>
      </c>
      <c r="O12" s="3">
        <v>326422</v>
      </c>
      <c r="P12" s="23">
        <v>20.743243307977828</v>
      </c>
      <c r="Q12" s="3">
        <v>20654</v>
      </c>
      <c r="R12" s="3">
        <v>6098</v>
      </c>
      <c r="S12" s="3">
        <v>15992658</v>
      </c>
    </row>
    <row r="13" spans="1:19" x14ac:dyDescent="0.25">
      <c r="A13" t="s">
        <v>11</v>
      </c>
      <c r="B13" s="3">
        <v>55</v>
      </c>
      <c r="C13" s="3">
        <v>1</v>
      </c>
      <c r="D13" s="5">
        <f t="shared" si="0"/>
        <v>56</v>
      </c>
      <c r="E13" s="3">
        <v>1786.6513677599996</v>
      </c>
      <c r="F13" s="3">
        <v>4.0467694500000002</v>
      </c>
      <c r="G13" s="7">
        <f t="shared" si="1"/>
        <v>1790.6981372099997</v>
      </c>
      <c r="H13" s="3">
        <v>1378153</v>
      </c>
      <c r="I13" s="3">
        <v>1778080</v>
      </c>
      <c r="J13" s="35">
        <v>1192.287</v>
      </c>
      <c r="K13" s="3">
        <v>1231.037</v>
      </c>
      <c r="L13" s="35">
        <f t="shared" si="2"/>
        <v>38.75</v>
      </c>
      <c r="M13" s="3">
        <v>1625.7685439170943</v>
      </c>
      <c r="N13" s="3">
        <v>2609026</v>
      </c>
      <c r="O13" s="3">
        <v>749114</v>
      </c>
      <c r="P13" s="23">
        <v>11.163848555803646</v>
      </c>
      <c r="Q13" s="3">
        <v>31235</v>
      </c>
      <c r="R13" s="3">
        <v>5785</v>
      </c>
      <c r="S13" s="3">
        <v>24932743</v>
      </c>
    </row>
    <row r="14" spans="1:19" x14ac:dyDescent="0.25">
      <c r="A14" t="s">
        <v>12</v>
      </c>
      <c r="B14" s="3">
        <v>32</v>
      </c>
      <c r="C14" s="3">
        <v>1</v>
      </c>
      <c r="D14" s="5">
        <f t="shared" si="0"/>
        <v>33</v>
      </c>
      <c r="E14" s="3">
        <v>724.74794649</v>
      </c>
      <c r="F14" s="3">
        <v>6.4184212400000007</v>
      </c>
      <c r="G14" s="7">
        <f t="shared" si="1"/>
        <v>731.16636773000005</v>
      </c>
      <c r="H14" s="3">
        <v>871720</v>
      </c>
      <c r="I14" s="3">
        <v>1197260</v>
      </c>
      <c r="J14" s="35">
        <v>662.41489999999999</v>
      </c>
      <c r="K14" s="3">
        <v>715.32180000000005</v>
      </c>
      <c r="L14" s="35">
        <f t="shared" si="2"/>
        <v>52.906900000000064</v>
      </c>
      <c r="M14" s="3">
        <v>1398.392171365793</v>
      </c>
      <c r="N14" s="3">
        <v>1766545</v>
      </c>
      <c r="O14" s="3">
        <v>627339</v>
      </c>
      <c r="P14" s="23">
        <v>6.7864326275147411</v>
      </c>
      <c r="Q14" s="3">
        <v>35082</v>
      </c>
      <c r="R14" s="3">
        <v>5665</v>
      </c>
      <c r="S14" s="3">
        <v>13494761</v>
      </c>
    </row>
    <row r="15" spans="1:19" s="14" customFormat="1" x14ac:dyDescent="0.25">
      <c r="A15" s="11" t="s">
        <v>50</v>
      </c>
      <c r="B15" s="8">
        <f>+B28+B29</f>
        <v>231</v>
      </c>
      <c r="C15" s="8">
        <f>+C28+C29</f>
        <v>22</v>
      </c>
      <c r="D15" s="12">
        <f t="shared" si="0"/>
        <v>253</v>
      </c>
      <c r="E15" s="8">
        <f t="shared" ref="E15:N15" si="3">+E28+E29</f>
        <v>10253.273868610002</v>
      </c>
      <c r="F15" s="8">
        <f t="shared" si="3"/>
        <v>502.52210438999998</v>
      </c>
      <c r="G15" s="13">
        <f t="shared" si="1"/>
        <v>10755.795973000002</v>
      </c>
      <c r="H15" s="8">
        <f t="shared" si="3"/>
        <v>8739120</v>
      </c>
      <c r="I15" s="8">
        <f>+I28+I29</f>
        <v>10479899</v>
      </c>
      <c r="J15" s="36">
        <f>+J31+J32</f>
        <v>6290.3558000000003</v>
      </c>
      <c r="K15" s="8">
        <f>+K31+K32</f>
        <v>6715.0002999999997</v>
      </c>
      <c r="L15" s="35">
        <f t="shared" si="2"/>
        <v>424.64449999999943</v>
      </c>
      <c r="M15" s="8">
        <f>+M31+M32</f>
        <v>3870.1209376763768</v>
      </c>
      <c r="N15" s="8">
        <f t="shared" si="3"/>
        <v>15693535</v>
      </c>
      <c r="O15" s="8">
        <f t="shared" ref="O15" si="4">+O28+O29</f>
        <v>8102046</v>
      </c>
      <c r="P15" s="24">
        <f>SUM(P36:P38)</f>
        <v>33.874797518208169</v>
      </c>
      <c r="Q15" s="8">
        <f>SUM(Q36:Q38)</f>
        <v>194148</v>
      </c>
      <c r="R15" s="8">
        <f>+R28+R29</f>
        <v>56802</v>
      </c>
      <c r="S15" s="8">
        <f>SUM(S36:S38)</f>
        <v>255670998</v>
      </c>
    </row>
    <row r="16" spans="1:19" x14ac:dyDescent="0.25">
      <c r="A16" t="s">
        <v>14</v>
      </c>
      <c r="B16" s="3">
        <v>23</v>
      </c>
      <c r="C16" s="3">
        <v>1</v>
      </c>
      <c r="D16" s="5">
        <f t="shared" si="0"/>
        <v>24</v>
      </c>
      <c r="E16" s="3">
        <v>259.34967870000003</v>
      </c>
      <c r="F16" s="3">
        <v>0.38883076</v>
      </c>
      <c r="G16" s="7">
        <f t="shared" si="1"/>
        <v>259.73850946000005</v>
      </c>
      <c r="H16" s="3">
        <v>608536</v>
      </c>
      <c r="I16" s="3">
        <v>883510</v>
      </c>
      <c r="J16" s="35">
        <v>495.0992</v>
      </c>
      <c r="K16" s="3">
        <v>521.31309999999996</v>
      </c>
      <c r="L16" s="35">
        <f t="shared" si="2"/>
        <v>26.213899999999967</v>
      </c>
      <c r="M16" s="3">
        <v>1435.6235293827713</v>
      </c>
      <c r="N16" s="3">
        <v>1061346</v>
      </c>
      <c r="O16" s="3">
        <v>70194</v>
      </c>
      <c r="P16" s="23">
        <v>55.899302245754122</v>
      </c>
      <c r="Q16" s="3">
        <v>7064</v>
      </c>
      <c r="R16" s="3">
        <v>2972</v>
      </c>
      <c r="S16" s="3">
        <v>10248568</v>
      </c>
    </row>
    <row r="17" spans="1:19" x14ac:dyDescent="0.25">
      <c r="A17" t="s">
        <v>15</v>
      </c>
      <c r="B17" s="3">
        <v>14</v>
      </c>
      <c r="C17" s="3">
        <v>0</v>
      </c>
      <c r="D17" s="5">
        <f t="shared" si="0"/>
        <v>14</v>
      </c>
      <c r="E17" s="3">
        <v>348.30715813</v>
      </c>
      <c r="F17" s="3">
        <v>0</v>
      </c>
      <c r="G17" s="7">
        <f t="shared" si="1"/>
        <v>348.30715813</v>
      </c>
      <c r="H17" s="3">
        <v>137700</v>
      </c>
      <c r="I17" s="3">
        <v>141070</v>
      </c>
      <c r="J17" s="35">
        <v>104.7029</v>
      </c>
      <c r="K17" s="3">
        <v>111.9757</v>
      </c>
      <c r="L17" s="35">
        <f t="shared" si="2"/>
        <v>7.2728000000000037</v>
      </c>
      <c r="M17" s="3">
        <v>1835.4251804188268</v>
      </c>
      <c r="N17" s="3">
        <v>336887</v>
      </c>
      <c r="O17" s="3">
        <v>39159</v>
      </c>
      <c r="P17" s="23">
        <v>27.271180022226705</v>
      </c>
      <c r="Q17" s="3">
        <v>3694</v>
      </c>
      <c r="R17" s="3">
        <v>1100</v>
      </c>
      <c r="S17" s="3">
        <v>1921466</v>
      </c>
    </row>
    <row r="18" spans="1:19" x14ac:dyDescent="0.25">
      <c r="A18" t="s">
        <v>16</v>
      </c>
      <c r="B18" s="3">
        <v>17</v>
      </c>
      <c r="C18" s="3">
        <v>0</v>
      </c>
      <c r="D18" s="5">
        <f t="shared" si="0"/>
        <v>17</v>
      </c>
      <c r="E18" s="3">
        <v>320.80264008999995</v>
      </c>
      <c r="F18" s="3">
        <v>0</v>
      </c>
      <c r="G18" s="7">
        <f t="shared" si="1"/>
        <v>320.80264008999995</v>
      </c>
      <c r="H18" s="3">
        <v>140329</v>
      </c>
      <c r="I18" s="3">
        <v>174863</v>
      </c>
      <c r="J18" s="35">
        <v>103.0608</v>
      </c>
      <c r="K18" s="3">
        <v>113.47190000000001</v>
      </c>
      <c r="L18" s="35">
        <f t="shared" si="2"/>
        <v>10.411100000000005</v>
      </c>
      <c r="M18" s="3">
        <v>2121.0741817790504</v>
      </c>
      <c r="N18" s="3">
        <v>289580</v>
      </c>
      <c r="O18" s="3">
        <v>103110</v>
      </c>
      <c r="P18" s="23">
        <v>11.243799020498614</v>
      </c>
      <c r="Q18" s="3">
        <v>2899</v>
      </c>
      <c r="R18" s="3">
        <v>953</v>
      </c>
      <c r="S18" s="3">
        <v>13674001</v>
      </c>
    </row>
    <row r="19" spans="1:19" x14ac:dyDescent="0.25">
      <c r="A19" t="s">
        <v>17</v>
      </c>
      <c r="B19" s="3">
        <v>17</v>
      </c>
      <c r="C19" s="3">
        <v>0</v>
      </c>
      <c r="D19" s="5">
        <f t="shared" si="0"/>
        <v>17</v>
      </c>
      <c r="E19" s="3">
        <v>293.81473172</v>
      </c>
      <c r="F19" s="3">
        <v>0</v>
      </c>
      <c r="G19" s="7">
        <f t="shared" si="1"/>
        <v>293.81473172</v>
      </c>
      <c r="H19" s="3">
        <v>169135</v>
      </c>
      <c r="I19" s="3">
        <v>254065</v>
      </c>
      <c r="J19" s="35">
        <v>137.4254</v>
      </c>
      <c r="K19" s="3">
        <v>143.28630000000001</v>
      </c>
      <c r="L19" s="35">
        <f t="shared" si="2"/>
        <v>5.8609000000000151</v>
      </c>
      <c r="M19" s="3">
        <v>1408.1448957771161</v>
      </c>
      <c r="N19" s="3">
        <v>328300</v>
      </c>
      <c r="O19" s="3">
        <v>28109</v>
      </c>
      <c r="P19" s="23">
        <v>24.647261863275201</v>
      </c>
      <c r="Q19" s="3">
        <v>2260</v>
      </c>
      <c r="R19" s="3">
        <v>1090</v>
      </c>
      <c r="S19" s="3">
        <v>5265658</v>
      </c>
    </row>
    <row r="20" spans="1:19" x14ac:dyDescent="0.25">
      <c r="A20" t="s">
        <v>18</v>
      </c>
      <c r="B20" s="3">
        <v>74</v>
      </c>
      <c r="C20" s="3">
        <v>2</v>
      </c>
      <c r="D20" s="5">
        <f t="shared" si="0"/>
        <v>76</v>
      </c>
      <c r="E20" s="3">
        <v>2120.4727438700002</v>
      </c>
      <c r="F20" s="3">
        <v>1.5214441900000002</v>
      </c>
      <c r="G20" s="7">
        <f t="shared" si="1"/>
        <v>2121.9941880599999</v>
      </c>
      <c r="H20" s="3">
        <v>1408184</v>
      </c>
      <c r="I20" s="3">
        <v>1856809</v>
      </c>
      <c r="J20" s="35">
        <v>1089.31</v>
      </c>
      <c r="K20" s="3">
        <v>1171.027</v>
      </c>
      <c r="L20" s="35">
        <f t="shared" si="2"/>
        <v>81.717000000000098</v>
      </c>
      <c r="M20" s="3">
        <v>1388.6341734914495</v>
      </c>
      <c r="N20" s="3">
        <v>2491687</v>
      </c>
      <c r="O20" s="3">
        <v>541189</v>
      </c>
      <c r="P20" s="23">
        <v>22.048053404829602</v>
      </c>
      <c r="Q20" s="3">
        <v>26805</v>
      </c>
      <c r="R20" s="3">
        <v>5668</v>
      </c>
      <c r="S20" s="3">
        <v>21473593</v>
      </c>
    </row>
    <row r="21" spans="1:19" x14ac:dyDescent="0.25">
      <c r="A21" t="s">
        <v>19</v>
      </c>
      <c r="B21" s="3">
        <v>55</v>
      </c>
      <c r="C21" s="3">
        <v>0</v>
      </c>
      <c r="D21" s="5">
        <f t="shared" si="0"/>
        <v>55</v>
      </c>
      <c r="E21" s="3">
        <v>651.62936080999998</v>
      </c>
      <c r="F21" s="3">
        <v>0</v>
      </c>
      <c r="G21" s="7">
        <f t="shared" si="1"/>
        <v>651.62936080999998</v>
      </c>
      <c r="H21" s="3">
        <v>767029</v>
      </c>
      <c r="I21" s="3">
        <v>1172697</v>
      </c>
      <c r="J21" s="35">
        <v>656.375</v>
      </c>
      <c r="K21" s="3">
        <v>688.7346</v>
      </c>
      <c r="L21" s="35">
        <f t="shared" si="2"/>
        <v>32.3596</v>
      </c>
      <c r="M21" s="3">
        <v>1083.4001763247611</v>
      </c>
      <c r="N21" s="3">
        <v>1766928</v>
      </c>
      <c r="O21" s="3">
        <v>170495</v>
      </c>
      <c r="P21" s="23">
        <v>20.919171394195498</v>
      </c>
      <c r="Q21" s="3">
        <v>7536</v>
      </c>
      <c r="R21" s="3">
        <v>4575</v>
      </c>
      <c r="S21" s="3">
        <v>10579219</v>
      </c>
    </row>
    <row r="22" spans="1:19" x14ac:dyDescent="0.25">
      <c r="A22" t="s">
        <v>20</v>
      </c>
      <c r="B22" s="3">
        <v>38</v>
      </c>
      <c r="C22" s="3">
        <v>1</v>
      </c>
      <c r="D22" s="5">
        <f t="shared" si="0"/>
        <v>39</v>
      </c>
      <c r="E22" s="3">
        <v>500.74390743000004</v>
      </c>
      <c r="F22" s="3">
        <v>0.38026396000000007</v>
      </c>
      <c r="G22" s="7">
        <f t="shared" si="1"/>
        <v>501.12417139000001</v>
      </c>
      <c r="H22" s="3">
        <v>594296</v>
      </c>
      <c r="I22" s="3">
        <v>813381</v>
      </c>
      <c r="J22" s="35">
        <v>500.49419999999998</v>
      </c>
      <c r="K22" s="3">
        <v>516.65819999999997</v>
      </c>
      <c r="L22" s="35">
        <f t="shared" si="2"/>
        <v>16.163999999999987</v>
      </c>
      <c r="M22" s="3">
        <v>1433.8349299174477</v>
      </c>
      <c r="N22" s="3">
        <v>1203362</v>
      </c>
      <c r="O22" s="3">
        <v>185467</v>
      </c>
      <c r="P22" s="23">
        <v>31.425466482997599</v>
      </c>
      <c r="Q22" s="3">
        <v>9512</v>
      </c>
      <c r="R22" s="3">
        <v>4272</v>
      </c>
      <c r="S22" s="3">
        <v>6574271</v>
      </c>
    </row>
    <row r="23" spans="1:19" x14ac:dyDescent="0.25">
      <c r="A23" t="s">
        <v>21</v>
      </c>
      <c r="B23" s="3">
        <v>22</v>
      </c>
      <c r="C23" s="3">
        <v>1</v>
      </c>
      <c r="D23" s="5">
        <f t="shared" si="0"/>
        <v>23</v>
      </c>
      <c r="E23" s="3">
        <v>677.51230863000012</v>
      </c>
      <c r="F23" s="3">
        <v>0.60689128000000003</v>
      </c>
      <c r="G23" s="7">
        <f t="shared" si="1"/>
        <v>678.11919991000013</v>
      </c>
      <c r="H23" s="3">
        <v>284009</v>
      </c>
      <c r="I23" s="3">
        <v>329332</v>
      </c>
      <c r="J23" s="35">
        <v>204.23699999999999</v>
      </c>
      <c r="K23" s="3">
        <v>219.00290000000001</v>
      </c>
      <c r="L23" s="35">
        <f t="shared" si="2"/>
        <v>14.765900000000016</v>
      </c>
      <c r="M23" s="3">
        <v>1700.6333132966415</v>
      </c>
      <c r="N23" s="3">
        <v>615467</v>
      </c>
      <c r="O23" s="3">
        <v>199105</v>
      </c>
      <c r="P23" s="23">
        <v>9.9156565859098329</v>
      </c>
      <c r="Q23" s="3">
        <v>4449</v>
      </c>
      <c r="R23" s="3">
        <v>2478</v>
      </c>
      <c r="S23" s="3">
        <v>8920642</v>
      </c>
    </row>
    <row r="24" spans="1:19" x14ac:dyDescent="0.25">
      <c r="A24" t="s">
        <v>22</v>
      </c>
      <c r="B24" s="3">
        <v>12</v>
      </c>
      <c r="C24" s="3">
        <v>0</v>
      </c>
      <c r="D24" s="5">
        <f t="shared" si="0"/>
        <v>12</v>
      </c>
      <c r="E24" s="3">
        <v>109.88351870000001</v>
      </c>
      <c r="F24" s="3">
        <v>0</v>
      </c>
      <c r="G24" s="7">
        <f t="shared" si="1"/>
        <v>109.88351870000001</v>
      </c>
      <c r="H24" s="3">
        <v>178648</v>
      </c>
      <c r="I24" s="3">
        <v>224863</v>
      </c>
      <c r="J24" s="35">
        <v>136.41370000000001</v>
      </c>
      <c r="K24" s="3">
        <v>144.88990000000001</v>
      </c>
      <c r="L24" s="35">
        <f t="shared" si="2"/>
        <v>8.4762000000000057</v>
      </c>
      <c r="M24" s="3">
        <v>1580.14848252006</v>
      </c>
      <c r="N24" s="3">
        <v>402926</v>
      </c>
      <c r="O24" s="3">
        <v>109648</v>
      </c>
      <c r="P24" s="23">
        <v>20.190495629692954</v>
      </c>
      <c r="Q24" s="3">
        <v>3686</v>
      </c>
      <c r="R24" s="3">
        <v>1816</v>
      </c>
      <c r="S24" s="3">
        <v>3023763</v>
      </c>
    </row>
    <row r="25" spans="1:19" x14ac:dyDescent="0.25">
      <c r="A25" t="s">
        <v>23</v>
      </c>
      <c r="B25" s="3">
        <v>18</v>
      </c>
      <c r="C25" s="3">
        <v>1</v>
      </c>
      <c r="D25" s="5">
        <f t="shared" si="0"/>
        <v>19</v>
      </c>
      <c r="E25" s="3">
        <v>164.81474600999999</v>
      </c>
      <c r="F25" s="3">
        <v>0.41264624999999999</v>
      </c>
      <c r="G25" s="7">
        <f t="shared" si="1"/>
        <v>165.22739225999999</v>
      </c>
      <c r="H25" s="3">
        <v>392486</v>
      </c>
      <c r="I25" s="3">
        <v>496459</v>
      </c>
      <c r="J25" s="35">
        <v>310.7407</v>
      </c>
      <c r="K25" s="3">
        <v>323.9529</v>
      </c>
      <c r="L25" s="35">
        <f t="shared" si="2"/>
        <v>13.212199999999996</v>
      </c>
      <c r="M25" s="3">
        <v>1492.2129826612365</v>
      </c>
      <c r="N25" s="3">
        <v>777724</v>
      </c>
      <c r="O25" s="3">
        <v>156244</v>
      </c>
      <c r="P25" s="23">
        <v>39.316867303557061</v>
      </c>
      <c r="Q25" s="3">
        <v>7197</v>
      </c>
      <c r="R25" s="3">
        <v>2193</v>
      </c>
      <c r="S25" s="3">
        <v>4774634</v>
      </c>
    </row>
    <row r="26" spans="1:19" x14ac:dyDescent="0.25">
      <c r="J26" s="3"/>
      <c r="K26" s="3"/>
      <c r="L26" s="3"/>
      <c r="M26" s="3"/>
      <c r="N26" s="3"/>
      <c r="O26" s="3"/>
      <c r="P26" s="23"/>
      <c r="Q26" s="3"/>
    </row>
    <row r="27" spans="1:19" x14ac:dyDescent="0.25">
      <c r="J27" s="3"/>
      <c r="K27" s="3"/>
      <c r="L27" s="3"/>
      <c r="M27" s="3"/>
      <c r="N27" s="3"/>
      <c r="O27" s="3"/>
      <c r="P27" s="23"/>
      <c r="Q27" s="3"/>
    </row>
    <row r="28" spans="1:19" x14ac:dyDescent="0.25">
      <c r="A28" s="25" t="s">
        <v>61</v>
      </c>
      <c r="B28" s="26">
        <v>10</v>
      </c>
      <c r="C28" s="26">
        <v>0</v>
      </c>
      <c r="D28" s="27">
        <f t="shared" ref="D28:D29" si="5">SUM(B28:C28)</f>
        <v>10</v>
      </c>
      <c r="E28" s="26">
        <v>222.42063928000002</v>
      </c>
      <c r="F28" s="26">
        <v>0</v>
      </c>
      <c r="G28" s="28">
        <f t="shared" ref="G28:G29" si="6">SUM(E28:F28)</f>
        <v>222.42063928000002</v>
      </c>
      <c r="H28" s="26">
        <v>810081</v>
      </c>
      <c r="I28" s="26">
        <v>994494</v>
      </c>
      <c r="J28" s="26"/>
      <c r="K28" s="26"/>
      <c r="L28" s="26"/>
      <c r="M28" s="26"/>
      <c r="N28" s="29"/>
      <c r="O28" s="26">
        <v>611860</v>
      </c>
      <c r="P28" s="31"/>
      <c r="Q28" s="26"/>
      <c r="R28" s="26">
        <v>4927</v>
      </c>
      <c r="S28" s="26"/>
    </row>
    <row r="29" spans="1:19" x14ac:dyDescent="0.25">
      <c r="A29" s="25" t="s">
        <v>13</v>
      </c>
      <c r="B29" s="26">
        <v>221</v>
      </c>
      <c r="C29" s="26">
        <v>22</v>
      </c>
      <c r="D29" s="27">
        <f t="shared" si="5"/>
        <v>243</v>
      </c>
      <c r="E29" s="26">
        <v>10030.853229330001</v>
      </c>
      <c r="F29" s="26">
        <v>502.52210438999998</v>
      </c>
      <c r="G29" s="28">
        <f t="shared" si="6"/>
        <v>10533.375333720001</v>
      </c>
      <c r="H29" s="26">
        <v>7929039</v>
      </c>
      <c r="I29" s="26">
        <v>9485405</v>
      </c>
      <c r="J29" s="26"/>
      <c r="K29" s="26"/>
      <c r="L29" s="26"/>
      <c r="M29" s="26"/>
      <c r="N29" s="29">
        <v>15693535</v>
      </c>
      <c r="O29" s="26">
        <v>7490186</v>
      </c>
      <c r="P29" s="31"/>
      <c r="Q29" s="26"/>
      <c r="R29" s="26">
        <v>51875</v>
      </c>
      <c r="S29" s="26"/>
    </row>
    <row r="30" spans="1:19" x14ac:dyDescent="0.25">
      <c r="J30" s="3"/>
      <c r="K30" s="3"/>
      <c r="L30" s="3"/>
      <c r="M30" s="3"/>
      <c r="N30" s="3"/>
      <c r="O30" s="3"/>
      <c r="P30" s="23"/>
      <c r="Q30" s="3"/>
    </row>
    <row r="31" spans="1:19" x14ac:dyDescent="0.25">
      <c r="A31" s="25" t="s">
        <v>51</v>
      </c>
      <c r="B31" s="30"/>
      <c r="C31" s="30"/>
      <c r="D31" s="30"/>
      <c r="E31" s="30"/>
      <c r="F31" s="30"/>
      <c r="G31" s="30"/>
      <c r="H31" s="30"/>
      <c r="I31" s="30"/>
      <c r="J31" s="26">
        <v>5459.2359999999999</v>
      </c>
      <c r="K31" s="26">
        <v>5835.5159999999996</v>
      </c>
      <c r="L31" s="26"/>
      <c r="M31" s="26">
        <v>2268.8751196764715</v>
      </c>
      <c r="N31" s="26"/>
      <c r="O31" s="26"/>
      <c r="P31" s="31"/>
      <c r="Q31" s="26"/>
      <c r="R31" s="30"/>
      <c r="S31" s="30"/>
    </row>
    <row r="32" spans="1:19" x14ac:dyDescent="0.25">
      <c r="A32" s="25" t="s">
        <v>52</v>
      </c>
      <c r="B32" s="30"/>
      <c r="C32" s="30"/>
      <c r="D32" s="30"/>
      <c r="E32" s="30"/>
      <c r="F32" s="30"/>
      <c r="G32" s="30"/>
      <c r="H32" s="30"/>
      <c r="I32" s="30"/>
      <c r="J32" s="26">
        <v>831.11980000000005</v>
      </c>
      <c r="K32" s="26">
        <v>879.48429999999996</v>
      </c>
      <c r="L32" s="26"/>
      <c r="M32" s="26">
        <v>1601.2458179999053</v>
      </c>
      <c r="N32" s="26"/>
      <c r="O32" s="26"/>
      <c r="P32" s="31"/>
      <c r="Q32" s="26"/>
      <c r="R32" s="30"/>
      <c r="S32" s="30"/>
    </row>
    <row r="33" spans="1:19" x14ac:dyDescent="0.25">
      <c r="A33" t="s">
        <v>53</v>
      </c>
      <c r="J33" s="3"/>
      <c r="K33" s="3"/>
      <c r="L33" s="3"/>
      <c r="M33" s="3"/>
      <c r="N33" s="3"/>
      <c r="O33" s="3"/>
      <c r="P33" s="3"/>
      <c r="Q33" s="3"/>
    </row>
    <row r="34" spans="1:19" x14ac:dyDescent="0.25">
      <c r="A34" t="s">
        <v>54</v>
      </c>
      <c r="J34" s="3"/>
      <c r="K34" s="3"/>
      <c r="L34" s="3"/>
      <c r="M34" s="3"/>
      <c r="O34" s="3"/>
      <c r="P34" s="3"/>
      <c r="Q34" s="3"/>
    </row>
    <row r="36" spans="1:19" x14ac:dyDescent="0.25">
      <c r="A36" s="25" t="s">
        <v>61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26"/>
      <c r="P36" s="31">
        <v>8.5725800259265732</v>
      </c>
      <c r="Q36" s="26">
        <v>15111</v>
      </c>
      <c r="R36" s="30"/>
      <c r="S36" s="26">
        <v>23148604</v>
      </c>
    </row>
    <row r="37" spans="1:19" x14ac:dyDescent="0.25">
      <c r="A37" s="25" t="s">
        <v>62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26"/>
      <c r="P37" s="31">
        <v>9.6314388880716191</v>
      </c>
      <c r="Q37" s="26">
        <v>166422</v>
      </c>
      <c r="R37" s="30"/>
      <c r="S37" s="26">
        <v>213152828</v>
      </c>
    </row>
    <row r="38" spans="1:19" x14ac:dyDescent="0.25">
      <c r="A38" s="25" t="s">
        <v>63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26"/>
      <c r="P38" s="31">
        <v>15.670778604209978</v>
      </c>
      <c r="Q38" s="26">
        <v>12615</v>
      </c>
      <c r="R38" s="30"/>
      <c r="S38" s="26">
        <v>19369566</v>
      </c>
    </row>
    <row r="39" spans="1:19" x14ac:dyDescent="0.25">
      <c r="A39" t="s">
        <v>64</v>
      </c>
    </row>
    <row r="40" spans="1:19" x14ac:dyDescent="0.25">
      <c r="A40" t="s">
        <v>65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8D8AB-6C39-473C-9BB7-DCE1B67EA1DA}">
  <dimension ref="A1:E24"/>
  <sheetViews>
    <sheetView tabSelected="1" workbookViewId="0">
      <selection activeCell="C16" sqref="C16"/>
    </sheetView>
  </sheetViews>
  <sheetFormatPr baseColWidth="10" defaultRowHeight="15" x14ac:dyDescent="0.25"/>
  <cols>
    <col min="1" max="1" width="15.28515625" style="21" customWidth="1"/>
    <col min="2" max="2" width="31.140625" customWidth="1"/>
    <col min="3" max="3" width="90.42578125" style="22" bestFit="1" customWidth="1"/>
    <col min="4" max="4" width="9.7109375" style="22" customWidth="1"/>
    <col min="5" max="5" width="57.7109375" style="22" bestFit="1" customWidth="1"/>
    <col min="6" max="16384" width="11.42578125" style="22"/>
  </cols>
  <sheetData>
    <row r="1" spans="1:5" s="17" customFormat="1" ht="20.25" customHeight="1" x14ac:dyDescent="0.25">
      <c r="A1" s="16" t="s">
        <v>72</v>
      </c>
      <c r="B1" s="10" t="s">
        <v>29</v>
      </c>
      <c r="C1" s="16" t="s">
        <v>30</v>
      </c>
      <c r="D1" s="39" t="s">
        <v>45</v>
      </c>
      <c r="E1" s="39"/>
    </row>
    <row r="2" spans="1:5" s="18" customFormat="1" ht="20.25" customHeight="1" x14ac:dyDescent="0.25">
      <c r="A2" s="17"/>
      <c r="B2" s="15" t="s">
        <v>25</v>
      </c>
      <c r="C2" s="18" t="s">
        <v>27</v>
      </c>
      <c r="D2" s="17" t="s">
        <v>31</v>
      </c>
      <c r="E2" s="18" t="s">
        <v>32</v>
      </c>
    </row>
    <row r="3" spans="1:5" s="18" customFormat="1" ht="20.25" customHeight="1" x14ac:dyDescent="0.25">
      <c r="A3" s="17"/>
      <c r="B3" s="15" t="s">
        <v>26</v>
      </c>
      <c r="C3" s="18" t="s">
        <v>28</v>
      </c>
      <c r="D3" s="17" t="s">
        <v>31</v>
      </c>
      <c r="E3" s="18" t="s">
        <v>32</v>
      </c>
    </row>
    <row r="4" spans="1:5" s="18" customFormat="1" ht="20.25" customHeight="1" x14ac:dyDescent="0.25">
      <c r="A4" s="19">
        <v>1</v>
      </c>
      <c r="B4" s="9" t="s">
        <v>40</v>
      </c>
      <c r="C4" s="42" t="s">
        <v>82</v>
      </c>
      <c r="D4" s="17"/>
    </row>
    <row r="5" spans="1:5" s="18" customFormat="1" ht="20.25" customHeight="1" x14ac:dyDescent="0.25">
      <c r="A5" s="17"/>
      <c r="B5" s="15" t="s">
        <v>33</v>
      </c>
      <c r="C5" s="18" t="s">
        <v>35</v>
      </c>
      <c r="D5" s="17" t="s">
        <v>31</v>
      </c>
      <c r="E5" s="18" t="s">
        <v>37</v>
      </c>
    </row>
    <row r="6" spans="1:5" s="18" customFormat="1" ht="20.25" customHeight="1" x14ac:dyDescent="0.25">
      <c r="A6" s="17"/>
      <c r="B6" s="15" t="s">
        <v>34</v>
      </c>
      <c r="C6" s="18" t="s">
        <v>36</v>
      </c>
      <c r="D6" s="17" t="s">
        <v>31</v>
      </c>
      <c r="E6" s="18" t="s">
        <v>37</v>
      </c>
    </row>
    <row r="7" spans="1:5" s="20" customFormat="1" ht="20.25" customHeight="1" x14ac:dyDescent="0.25">
      <c r="A7" s="19">
        <v>1</v>
      </c>
      <c r="B7" s="9" t="s">
        <v>41</v>
      </c>
      <c r="C7" s="42" t="s">
        <v>83</v>
      </c>
      <c r="D7" s="19"/>
    </row>
    <row r="8" spans="1:5" s="20" customFormat="1" ht="20.25" customHeight="1" x14ac:dyDescent="0.25">
      <c r="A8" s="19">
        <v>1</v>
      </c>
      <c r="B8" s="9" t="s">
        <v>38</v>
      </c>
      <c r="C8" s="20" t="s">
        <v>47</v>
      </c>
      <c r="D8" s="19" t="s">
        <v>44</v>
      </c>
      <c r="E8" s="20" t="s">
        <v>43</v>
      </c>
    </row>
    <row r="9" spans="1:5" s="20" customFormat="1" ht="20.25" customHeight="1" x14ac:dyDescent="0.25">
      <c r="A9" s="19">
        <v>1</v>
      </c>
      <c r="B9" s="9" t="s">
        <v>39</v>
      </c>
      <c r="C9" s="20" t="s">
        <v>84</v>
      </c>
      <c r="D9" s="19" t="s">
        <v>48</v>
      </c>
      <c r="E9" s="20" t="s">
        <v>46</v>
      </c>
    </row>
    <row r="10" spans="1:5" s="20" customFormat="1" ht="20.25" customHeight="1" x14ac:dyDescent="0.25">
      <c r="A10" s="19">
        <v>1</v>
      </c>
      <c r="B10" s="9" t="s">
        <v>42</v>
      </c>
      <c r="C10" s="20" t="s">
        <v>87</v>
      </c>
      <c r="D10" s="19" t="s">
        <v>44</v>
      </c>
      <c r="E10" s="20" t="s">
        <v>49</v>
      </c>
    </row>
    <row r="11" spans="1:5" s="20" customFormat="1" ht="20.25" customHeight="1" x14ac:dyDescent="0.25">
      <c r="A11" s="19">
        <v>1</v>
      </c>
      <c r="B11" s="9" t="s">
        <v>55</v>
      </c>
      <c r="C11" s="20" t="s">
        <v>88</v>
      </c>
      <c r="D11" s="19" t="s">
        <v>44</v>
      </c>
      <c r="E11" s="20" t="s">
        <v>56</v>
      </c>
    </row>
    <row r="12" spans="1:5" s="18" customFormat="1" ht="20.25" customHeight="1" x14ac:dyDescent="0.25">
      <c r="A12" s="19">
        <v>1</v>
      </c>
      <c r="B12" s="9" t="s">
        <v>57</v>
      </c>
      <c r="C12" s="20" t="s">
        <v>85</v>
      </c>
      <c r="D12" s="19" t="s">
        <v>44</v>
      </c>
      <c r="E12" s="20" t="s">
        <v>58</v>
      </c>
    </row>
    <row r="13" spans="1:5" s="18" customFormat="1" ht="20.25" customHeight="1" x14ac:dyDescent="0.25">
      <c r="A13" s="17"/>
      <c r="B13" s="43" t="s">
        <v>59</v>
      </c>
      <c r="C13" s="18" t="s">
        <v>86</v>
      </c>
      <c r="D13" s="17" t="s">
        <v>44</v>
      </c>
      <c r="E13" s="18" t="s">
        <v>60</v>
      </c>
    </row>
    <row r="14" spans="1:5" s="18" customFormat="1" ht="20.25" customHeight="1" x14ac:dyDescent="0.25">
      <c r="A14" s="19">
        <v>1</v>
      </c>
      <c r="B14" s="9" t="s">
        <v>75</v>
      </c>
      <c r="C14" s="42" t="s">
        <v>81</v>
      </c>
      <c r="D14" s="19"/>
      <c r="E14" s="20"/>
    </row>
    <row r="15" spans="1:5" s="18" customFormat="1" ht="20.25" customHeight="1" x14ac:dyDescent="0.25">
      <c r="A15" s="19">
        <v>1</v>
      </c>
      <c r="B15" s="9" t="s">
        <v>67</v>
      </c>
      <c r="C15" s="20" t="s">
        <v>89</v>
      </c>
      <c r="D15" s="19" t="s">
        <v>44</v>
      </c>
      <c r="E15" s="20" t="s">
        <v>66</v>
      </c>
    </row>
    <row r="16" spans="1:5" s="18" customFormat="1" ht="20.25" customHeight="1" x14ac:dyDescent="0.25">
      <c r="A16" s="19">
        <v>1</v>
      </c>
      <c r="B16" s="9" t="s">
        <v>68</v>
      </c>
      <c r="C16" s="20" t="s">
        <v>90</v>
      </c>
      <c r="D16" s="19" t="s">
        <v>44</v>
      </c>
      <c r="E16" s="20" t="s">
        <v>69</v>
      </c>
    </row>
    <row r="17" spans="1:5" s="18" customFormat="1" ht="20.25" customHeight="1" x14ac:dyDescent="0.25">
      <c r="A17" s="19">
        <v>1</v>
      </c>
      <c r="B17" s="9" t="s">
        <v>70</v>
      </c>
      <c r="C17" s="20" t="s">
        <v>91</v>
      </c>
      <c r="D17" s="19" t="s">
        <v>48</v>
      </c>
      <c r="E17" s="20" t="s">
        <v>71</v>
      </c>
    </row>
    <row r="18" spans="1:5" s="18" customFormat="1" ht="20.25" customHeight="1" x14ac:dyDescent="0.25">
      <c r="A18" s="19">
        <v>1</v>
      </c>
      <c r="B18" s="9" t="s">
        <v>73</v>
      </c>
      <c r="C18" s="20" t="s">
        <v>92</v>
      </c>
      <c r="D18" s="19" t="s">
        <v>74</v>
      </c>
      <c r="E18" s="20" t="s">
        <v>78</v>
      </c>
    </row>
    <row r="19" spans="1:5" x14ac:dyDescent="0.25">
      <c r="A19" s="32">
        <v>1</v>
      </c>
      <c r="B19" s="14" t="s">
        <v>79</v>
      </c>
      <c r="C19" s="20" t="s">
        <v>76</v>
      </c>
      <c r="D19" s="19" t="s">
        <v>44</v>
      </c>
      <c r="E19" s="33" t="s">
        <v>77</v>
      </c>
    </row>
    <row r="20" spans="1:5" x14ac:dyDescent="0.25">
      <c r="D20" s="21"/>
    </row>
    <row r="21" spans="1:5" x14ac:dyDescent="0.25">
      <c r="D21" s="21"/>
    </row>
    <row r="24" spans="1:5" x14ac:dyDescent="0.25">
      <c r="A24" s="37">
        <f>SUM(A2:A23)</f>
        <v>13</v>
      </c>
      <c r="B24" s="38" t="s">
        <v>80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86E3-00BD-4CAB-A0F4-04A95E195123}">
  <dimension ref="A1:N25"/>
  <sheetViews>
    <sheetView workbookViewId="0">
      <selection activeCell="C2" sqref="C2"/>
    </sheetView>
  </sheetViews>
  <sheetFormatPr baseColWidth="10" defaultRowHeight="15" x14ac:dyDescent="0.25"/>
  <cols>
    <col min="1" max="1" width="13.5703125" bestFit="1" customWidth="1"/>
    <col min="3" max="3" width="24.42578125" bestFit="1" customWidth="1"/>
    <col min="4" max="4" width="15.7109375" bestFit="1" customWidth="1"/>
    <col min="5" max="5" width="25" bestFit="1" customWidth="1"/>
    <col min="6" max="6" width="23.85546875" bestFit="1" customWidth="1"/>
    <col min="7" max="7" width="27.140625" bestFit="1" customWidth="1"/>
    <col min="8" max="8" width="22.7109375" bestFit="1" customWidth="1"/>
    <col min="9" max="9" width="23.140625" bestFit="1" customWidth="1"/>
    <col min="10" max="10" width="21" bestFit="1" customWidth="1"/>
    <col min="12" max="12" width="15.28515625" bestFit="1" customWidth="1"/>
    <col min="13" max="13" width="14.7109375" bestFit="1" customWidth="1"/>
    <col min="14" max="14" width="14" bestFit="1" customWidth="1"/>
  </cols>
  <sheetData>
    <row r="1" spans="1:14" s="14" customFormat="1" x14ac:dyDescent="0.25">
      <c r="A1" s="40" t="s">
        <v>24</v>
      </c>
      <c r="B1" s="14" t="s">
        <v>40</v>
      </c>
      <c r="C1" s="14" t="s">
        <v>41</v>
      </c>
      <c r="D1" s="14" t="s">
        <v>38</v>
      </c>
      <c r="E1" s="14" t="s">
        <v>42</v>
      </c>
      <c r="F1" s="14" t="s">
        <v>57</v>
      </c>
      <c r="G1" s="14" t="s">
        <v>75</v>
      </c>
      <c r="H1" s="14" t="s">
        <v>55</v>
      </c>
      <c r="I1" s="14" t="s">
        <v>39</v>
      </c>
      <c r="J1" s="14" t="s">
        <v>70</v>
      </c>
      <c r="K1" s="14" t="s">
        <v>67</v>
      </c>
      <c r="L1" s="14" t="s">
        <v>68</v>
      </c>
      <c r="M1" s="14" t="s">
        <v>73</v>
      </c>
      <c r="N1" s="14" t="s">
        <v>79</v>
      </c>
    </row>
    <row r="2" spans="1:14" x14ac:dyDescent="0.25">
      <c r="A2" s="41" t="s">
        <v>0</v>
      </c>
      <c r="B2">
        <v>20</v>
      </c>
      <c r="C2" s="3">
        <v>202.43001784</v>
      </c>
      <c r="D2" s="3">
        <v>258797</v>
      </c>
      <c r="E2" s="3">
        <v>379384</v>
      </c>
      <c r="F2" s="3">
        <v>221.2081</v>
      </c>
      <c r="G2" s="3">
        <v>8.6687000000000012</v>
      </c>
      <c r="H2" s="3">
        <v>1240.2749586375883</v>
      </c>
      <c r="I2" s="3">
        <v>462385</v>
      </c>
      <c r="J2" s="3">
        <v>30989</v>
      </c>
      <c r="K2" s="23">
        <v>29.213367390410195</v>
      </c>
      <c r="L2" s="3">
        <v>4745</v>
      </c>
      <c r="M2" s="3">
        <v>1700</v>
      </c>
      <c r="N2" s="3">
        <v>3103841</v>
      </c>
    </row>
    <row r="3" spans="1:14" x14ac:dyDescent="0.25">
      <c r="A3" s="41" t="s">
        <v>1</v>
      </c>
      <c r="B3">
        <v>28</v>
      </c>
      <c r="C3" s="3">
        <v>337.07384333999994</v>
      </c>
      <c r="D3" s="3">
        <v>763170</v>
      </c>
      <c r="E3" s="3">
        <v>1083519</v>
      </c>
      <c r="F3" s="3">
        <v>616.94529999999997</v>
      </c>
      <c r="G3" s="3">
        <v>25.165300000000002</v>
      </c>
      <c r="H3" s="3">
        <v>1514.7391070399158</v>
      </c>
      <c r="I3" s="3">
        <v>1514312</v>
      </c>
      <c r="J3" s="3">
        <v>375597</v>
      </c>
      <c r="K3" s="23">
        <v>16.866747529029098</v>
      </c>
      <c r="L3" s="3">
        <v>13662</v>
      </c>
      <c r="M3" s="3">
        <v>4857</v>
      </c>
      <c r="N3" s="3">
        <v>21386810</v>
      </c>
    </row>
    <row r="4" spans="1:14" x14ac:dyDescent="0.25">
      <c r="A4" s="41" t="s">
        <v>2</v>
      </c>
      <c r="B4">
        <v>29</v>
      </c>
      <c r="C4" s="3">
        <v>497.06375582999999</v>
      </c>
      <c r="D4" s="3">
        <v>262411</v>
      </c>
      <c r="E4" s="3">
        <v>405759</v>
      </c>
      <c r="F4" s="3">
        <v>246.92869999999999</v>
      </c>
      <c r="G4" s="3">
        <v>8.3103000000000122</v>
      </c>
      <c r="H4" s="3">
        <v>1286.3208114223585</v>
      </c>
      <c r="I4" s="3">
        <v>546431</v>
      </c>
      <c r="J4" s="3">
        <v>80266</v>
      </c>
      <c r="K4" s="23">
        <v>7.7543829771661983</v>
      </c>
      <c r="L4" s="3">
        <v>4003</v>
      </c>
      <c r="M4" s="3">
        <v>2448</v>
      </c>
      <c r="N4" s="3">
        <v>7219959</v>
      </c>
    </row>
    <row r="5" spans="1:14" x14ac:dyDescent="0.25">
      <c r="A5" s="41" t="s">
        <v>3</v>
      </c>
      <c r="B5">
        <v>87</v>
      </c>
      <c r="C5" s="3">
        <v>5890.5190766799997</v>
      </c>
      <c r="D5" s="3">
        <v>1088782</v>
      </c>
      <c r="E5" s="3">
        <v>1382730</v>
      </c>
      <c r="F5" s="3">
        <v>735.3288</v>
      </c>
      <c r="G5" s="3">
        <v>53.814499999999953</v>
      </c>
      <c r="H5" s="3">
        <v>2109.9859867115815</v>
      </c>
      <c r="I5" s="3">
        <v>2085637</v>
      </c>
      <c r="J5" s="3">
        <v>731896</v>
      </c>
      <c r="K5" s="23">
        <v>8.6261461068269387</v>
      </c>
      <c r="L5" s="3">
        <v>27821</v>
      </c>
      <c r="M5" s="3">
        <v>6542</v>
      </c>
      <c r="N5" s="3">
        <v>31636176</v>
      </c>
    </row>
    <row r="6" spans="1:14" x14ac:dyDescent="0.25">
      <c r="A6" s="41" t="s">
        <v>4</v>
      </c>
      <c r="B6">
        <v>29</v>
      </c>
      <c r="C6" s="3">
        <v>467.40607459</v>
      </c>
      <c r="D6" s="3">
        <v>409877</v>
      </c>
      <c r="E6" s="3">
        <v>616176</v>
      </c>
      <c r="F6" s="3">
        <v>364.31240000000003</v>
      </c>
      <c r="G6" s="3">
        <v>16.087899999999991</v>
      </c>
      <c r="H6" s="3">
        <v>1329.7585616436936</v>
      </c>
      <c r="I6" s="3">
        <v>787367</v>
      </c>
      <c r="J6" s="3">
        <v>143831</v>
      </c>
      <c r="K6" s="23">
        <v>16.61908425971373</v>
      </c>
      <c r="L6" s="3">
        <v>7610</v>
      </c>
      <c r="M6" s="3">
        <v>2847</v>
      </c>
      <c r="N6" s="3">
        <v>6212319</v>
      </c>
    </row>
    <row r="7" spans="1:14" x14ac:dyDescent="0.25">
      <c r="A7" s="41" t="s">
        <v>5</v>
      </c>
      <c r="B7">
        <v>53</v>
      </c>
      <c r="C7" s="3">
        <v>789.30944657000009</v>
      </c>
      <c r="D7" s="3">
        <v>896497</v>
      </c>
      <c r="E7" s="3">
        <v>1341012</v>
      </c>
      <c r="F7" s="3">
        <v>757.08720000000005</v>
      </c>
      <c r="G7" s="3">
        <v>32.74759999999992</v>
      </c>
      <c r="H7" s="3">
        <v>1199.9563221619974</v>
      </c>
      <c r="I7" s="3">
        <v>1750254</v>
      </c>
      <c r="J7" s="3">
        <v>192794</v>
      </c>
      <c r="K7" s="23">
        <v>14.696809903212117</v>
      </c>
      <c r="L7" s="3">
        <v>12017</v>
      </c>
      <c r="M7" s="3">
        <v>4023</v>
      </c>
      <c r="N7" s="3">
        <v>12001887</v>
      </c>
    </row>
    <row r="8" spans="1:14" x14ac:dyDescent="0.25">
      <c r="A8" s="41" t="s">
        <v>6</v>
      </c>
      <c r="B8">
        <v>83</v>
      </c>
      <c r="C8" s="3">
        <v>3228.50526644</v>
      </c>
      <c r="D8" s="3">
        <v>896609</v>
      </c>
      <c r="E8" s="3">
        <v>1205527</v>
      </c>
      <c r="F8" s="3">
        <v>780.40440000000001</v>
      </c>
      <c r="G8" s="3">
        <v>37.82140000000004</v>
      </c>
      <c r="H8" s="3">
        <v>1617.8899805082967</v>
      </c>
      <c r="I8" s="3">
        <v>1744646</v>
      </c>
      <c r="J8" s="3">
        <v>350415</v>
      </c>
      <c r="K8" s="23">
        <v>11.433663429339029</v>
      </c>
      <c r="L8" s="3">
        <v>16288</v>
      </c>
      <c r="M8" s="3">
        <v>6849</v>
      </c>
      <c r="N8" s="3">
        <v>22767865</v>
      </c>
    </row>
    <row r="9" spans="1:14" x14ac:dyDescent="0.25">
      <c r="A9" s="41" t="s">
        <v>7</v>
      </c>
      <c r="B9">
        <v>16</v>
      </c>
      <c r="C9" s="3">
        <v>259.05235412000002</v>
      </c>
      <c r="D9" s="3">
        <v>192343</v>
      </c>
      <c r="E9" s="3">
        <v>347639</v>
      </c>
      <c r="F9" s="3">
        <v>176.7535</v>
      </c>
      <c r="G9" s="3">
        <v>8.2175000000000011</v>
      </c>
      <c r="H9" s="3">
        <v>1297.738249101496</v>
      </c>
      <c r="I9" s="3">
        <v>415883</v>
      </c>
      <c r="J9" s="3">
        <v>40251</v>
      </c>
      <c r="K9" s="23">
        <v>19.226636097383157</v>
      </c>
      <c r="L9" s="3">
        <v>1667</v>
      </c>
      <c r="M9" s="3">
        <v>1662</v>
      </c>
      <c r="N9" s="3">
        <v>3912627</v>
      </c>
    </row>
    <row r="10" spans="1:14" x14ac:dyDescent="0.25">
      <c r="A10" s="41" t="s">
        <v>8</v>
      </c>
      <c r="B10">
        <v>25</v>
      </c>
      <c r="C10" s="3">
        <v>394.59359469000003</v>
      </c>
      <c r="D10" s="3">
        <v>455980</v>
      </c>
      <c r="E10" s="3">
        <v>721047</v>
      </c>
      <c r="F10" s="3">
        <v>364.79399999999998</v>
      </c>
      <c r="G10" s="3">
        <v>18.875300000000038</v>
      </c>
      <c r="H10" s="3">
        <v>1360.9046783442336</v>
      </c>
      <c r="I10" s="3">
        <v>994463</v>
      </c>
      <c r="J10" s="3">
        <v>155454</v>
      </c>
      <c r="K10" s="23">
        <v>23.701437880868191</v>
      </c>
      <c r="L10" s="3">
        <v>10506</v>
      </c>
      <c r="M10" s="3">
        <v>3530</v>
      </c>
      <c r="N10" s="3">
        <v>6924290</v>
      </c>
    </row>
    <row r="11" spans="1:14" x14ac:dyDescent="0.25">
      <c r="A11" s="41" t="s">
        <v>9</v>
      </c>
      <c r="B11">
        <v>49</v>
      </c>
      <c r="C11" s="3">
        <v>1521.15933896</v>
      </c>
      <c r="D11" s="3">
        <v>679349</v>
      </c>
      <c r="E11" s="3">
        <v>850765</v>
      </c>
      <c r="F11" s="3">
        <v>488.8032</v>
      </c>
      <c r="G11" s="3">
        <v>40.676800000000014</v>
      </c>
      <c r="H11" s="3">
        <v>1886.2142209852177</v>
      </c>
      <c r="I11" s="3">
        <v>1285755</v>
      </c>
      <c r="J11" s="3">
        <v>515638</v>
      </c>
      <c r="K11" s="23">
        <v>9.1522284137620016</v>
      </c>
      <c r="L11" s="3">
        <v>13933</v>
      </c>
      <c r="M11" s="3">
        <v>3535</v>
      </c>
      <c r="N11" s="3">
        <v>21439833</v>
      </c>
    </row>
    <row r="12" spans="1:14" x14ac:dyDescent="0.25">
      <c r="A12" s="41" t="s">
        <v>10</v>
      </c>
      <c r="B12">
        <v>82</v>
      </c>
      <c r="C12" s="3">
        <v>2856.7519563000005</v>
      </c>
      <c r="D12" s="3">
        <v>863674</v>
      </c>
      <c r="E12" s="3">
        <v>1246038</v>
      </c>
      <c r="F12" s="3">
        <v>687.45439999999996</v>
      </c>
      <c r="G12" s="3">
        <v>38.151200000000017</v>
      </c>
      <c r="H12" s="3">
        <v>1364.4162893261478</v>
      </c>
      <c r="I12" s="3">
        <v>1775140</v>
      </c>
      <c r="J12" s="3">
        <v>326422</v>
      </c>
      <c r="K12" s="23">
        <v>20.743243307977828</v>
      </c>
      <c r="L12" s="3">
        <v>20654</v>
      </c>
      <c r="M12" s="3">
        <v>6098</v>
      </c>
      <c r="N12" s="3">
        <v>15992658</v>
      </c>
    </row>
    <row r="13" spans="1:14" x14ac:dyDescent="0.25">
      <c r="A13" s="41" t="s">
        <v>11</v>
      </c>
      <c r="B13">
        <v>56</v>
      </c>
      <c r="C13" s="3">
        <v>1790.6981372099997</v>
      </c>
      <c r="D13" s="3">
        <v>1378153</v>
      </c>
      <c r="E13" s="3">
        <v>1778080</v>
      </c>
      <c r="F13" s="3">
        <v>1192.287</v>
      </c>
      <c r="G13" s="3">
        <v>38.75</v>
      </c>
      <c r="H13" s="3">
        <v>1625.7685439170943</v>
      </c>
      <c r="I13" s="3">
        <v>2609026</v>
      </c>
      <c r="J13" s="3">
        <v>749114</v>
      </c>
      <c r="K13" s="23">
        <v>11.163848555803646</v>
      </c>
      <c r="L13" s="3">
        <v>31235</v>
      </c>
      <c r="M13" s="3">
        <v>5785</v>
      </c>
      <c r="N13" s="3">
        <v>24932743</v>
      </c>
    </row>
    <row r="14" spans="1:14" x14ac:dyDescent="0.25">
      <c r="A14" s="41" t="s">
        <v>12</v>
      </c>
      <c r="B14">
        <v>33</v>
      </c>
      <c r="C14" s="3">
        <v>731.16636773000005</v>
      </c>
      <c r="D14" s="3">
        <v>871720</v>
      </c>
      <c r="E14" s="3">
        <v>1197260</v>
      </c>
      <c r="F14" s="3">
        <v>662.41489999999999</v>
      </c>
      <c r="G14" s="3">
        <v>52.906900000000064</v>
      </c>
      <c r="H14" s="3">
        <v>1398.392171365793</v>
      </c>
      <c r="I14" s="3">
        <v>1766545</v>
      </c>
      <c r="J14" s="3">
        <v>627339</v>
      </c>
      <c r="K14" s="23">
        <v>6.7864326275147411</v>
      </c>
      <c r="L14" s="3">
        <v>35082</v>
      </c>
      <c r="M14" s="3">
        <v>5665</v>
      </c>
      <c r="N14" s="3">
        <v>13494761</v>
      </c>
    </row>
    <row r="15" spans="1:14" x14ac:dyDescent="0.25">
      <c r="A15" s="41" t="s">
        <v>50</v>
      </c>
      <c r="B15">
        <v>253</v>
      </c>
      <c r="C15" s="3">
        <v>10755.795973000002</v>
      </c>
      <c r="D15" s="3">
        <v>8739120</v>
      </c>
      <c r="E15" s="3">
        <v>10479899</v>
      </c>
      <c r="F15" s="3">
        <v>6290.3558000000003</v>
      </c>
      <c r="G15" s="3">
        <v>424.64449999999943</v>
      </c>
      <c r="H15" s="3">
        <v>3870.1209376763768</v>
      </c>
      <c r="I15" s="3">
        <v>15693535</v>
      </c>
      <c r="J15" s="3">
        <v>8102046</v>
      </c>
      <c r="K15" s="23">
        <v>33.874797518208169</v>
      </c>
      <c r="L15" s="3">
        <v>194148</v>
      </c>
      <c r="M15" s="3">
        <v>56802</v>
      </c>
      <c r="N15" s="3">
        <v>255670998</v>
      </c>
    </row>
    <row r="16" spans="1:14" x14ac:dyDescent="0.25">
      <c r="A16" s="41" t="s">
        <v>14</v>
      </c>
      <c r="B16">
        <v>24</v>
      </c>
      <c r="C16" s="3">
        <v>259.73850946000005</v>
      </c>
      <c r="D16" s="3">
        <v>608536</v>
      </c>
      <c r="E16" s="3">
        <v>883510</v>
      </c>
      <c r="F16" s="3">
        <v>495.0992</v>
      </c>
      <c r="G16" s="3">
        <v>26.213899999999967</v>
      </c>
      <c r="H16" s="3">
        <v>1435.6235293827713</v>
      </c>
      <c r="I16" s="3">
        <v>1061346</v>
      </c>
      <c r="J16" s="3">
        <v>70194</v>
      </c>
      <c r="K16" s="23">
        <v>55.899302245754122</v>
      </c>
      <c r="L16" s="3">
        <v>7064</v>
      </c>
      <c r="M16" s="3">
        <v>2972</v>
      </c>
      <c r="N16" s="3">
        <v>10248568</v>
      </c>
    </row>
    <row r="17" spans="1:14" x14ac:dyDescent="0.25">
      <c r="A17" s="41" t="s">
        <v>15</v>
      </c>
      <c r="B17">
        <v>14</v>
      </c>
      <c r="C17" s="3">
        <v>348.30715813</v>
      </c>
      <c r="D17" s="3">
        <v>137700</v>
      </c>
      <c r="E17" s="3">
        <v>141070</v>
      </c>
      <c r="F17" s="3">
        <v>104.7029</v>
      </c>
      <c r="G17" s="3">
        <v>7.2728000000000037</v>
      </c>
      <c r="H17" s="3">
        <v>1835.4251804188268</v>
      </c>
      <c r="I17" s="3">
        <v>336887</v>
      </c>
      <c r="J17" s="3">
        <v>39159</v>
      </c>
      <c r="K17" s="23">
        <v>27.271180022226705</v>
      </c>
      <c r="L17" s="3">
        <v>3694</v>
      </c>
      <c r="M17" s="3">
        <v>1100</v>
      </c>
      <c r="N17" s="3">
        <v>1921466</v>
      </c>
    </row>
    <row r="18" spans="1:14" x14ac:dyDescent="0.25">
      <c r="A18" s="41" t="s">
        <v>16</v>
      </c>
      <c r="B18">
        <v>17</v>
      </c>
      <c r="C18" s="3">
        <v>320.80264008999995</v>
      </c>
      <c r="D18" s="3">
        <v>140329</v>
      </c>
      <c r="E18" s="3">
        <v>174863</v>
      </c>
      <c r="F18" s="3">
        <v>103.0608</v>
      </c>
      <c r="G18" s="3">
        <v>10.411100000000005</v>
      </c>
      <c r="H18" s="3">
        <v>2121.0741817790504</v>
      </c>
      <c r="I18" s="3">
        <v>289580</v>
      </c>
      <c r="J18" s="3">
        <v>103110</v>
      </c>
      <c r="K18" s="23">
        <v>11.243799020498614</v>
      </c>
      <c r="L18" s="3">
        <v>2899</v>
      </c>
      <c r="M18" s="3">
        <v>953</v>
      </c>
      <c r="N18" s="3">
        <v>13674001</v>
      </c>
    </row>
    <row r="19" spans="1:14" x14ac:dyDescent="0.25">
      <c r="A19" s="41" t="s">
        <v>17</v>
      </c>
      <c r="B19">
        <v>17</v>
      </c>
      <c r="C19" s="3">
        <v>293.81473172</v>
      </c>
      <c r="D19" s="3">
        <v>169135</v>
      </c>
      <c r="E19" s="3">
        <v>254065</v>
      </c>
      <c r="F19" s="3">
        <v>137.4254</v>
      </c>
      <c r="G19" s="3">
        <v>5.8609000000000151</v>
      </c>
      <c r="H19" s="3">
        <v>1408.1448957771161</v>
      </c>
      <c r="I19" s="3">
        <v>328300</v>
      </c>
      <c r="J19" s="3">
        <v>28109</v>
      </c>
      <c r="K19" s="23">
        <v>24.647261863275201</v>
      </c>
      <c r="L19" s="3">
        <v>2260</v>
      </c>
      <c r="M19" s="3">
        <v>1090</v>
      </c>
      <c r="N19" s="3">
        <v>5265658</v>
      </c>
    </row>
    <row r="20" spans="1:14" x14ac:dyDescent="0.25">
      <c r="A20" s="41" t="s">
        <v>18</v>
      </c>
      <c r="B20">
        <v>76</v>
      </c>
      <c r="C20" s="3">
        <v>2121.9941880599999</v>
      </c>
      <c r="D20" s="3">
        <v>1408184</v>
      </c>
      <c r="E20" s="3">
        <v>1856809</v>
      </c>
      <c r="F20" s="3">
        <v>1089.31</v>
      </c>
      <c r="G20" s="3">
        <v>81.717000000000098</v>
      </c>
      <c r="H20" s="3">
        <v>1388.6341734914495</v>
      </c>
      <c r="I20" s="3">
        <v>2491687</v>
      </c>
      <c r="J20" s="3">
        <v>541189</v>
      </c>
      <c r="K20" s="23">
        <v>22.048053404829602</v>
      </c>
      <c r="L20" s="3">
        <v>26805</v>
      </c>
      <c r="M20" s="3">
        <v>5668</v>
      </c>
      <c r="N20" s="3">
        <v>21473593</v>
      </c>
    </row>
    <row r="21" spans="1:14" x14ac:dyDescent="0.25">
      <c r="A21" s="41" t="s">
        <v>19</v>
      </c>
      <c r="B21">
        <v>55</v>
      </c>
      <c r="C21" s="3">
        <v>651.62936080999998</v>
      </c>
      <c r="D21" s="3">
        <v>767029</v>
      </c>
      <c r="E21" s="3">
        <v>1172697</v>
      </c>
      <c r="F21" s="3">
        <v>656.375</v>
      </c>
      <c r="G21" s="3">
        <v>32.3596</v>
      </c>
      <c r="H21" s="3">
        <v>1083.4001763247611</v>
      </c>
      <c r="I21" s="3">
        <v>1766928</v>
      </c>
      <c r="J21" s="3">
        <v>170495</v>
      </c>
      <c r="K21" s="23">
        <v>20.919171394195498</v>
      </c>
      <c r="L21" s="3">
        <v>7536</v>
      </c>
      <c r="M21" s="3">
        <v>4575</v>
      </c>
      <c r="N21" s="3">
        <v>10579219</v>
      </c>
    </row>
    <row r="22" spans="1:14" x14ac:dyDescent="0.25">
      <c r="A22" s="41" t="s">
        <v>20</v>
      </c>
      <c r="B22">
        <v>39</v>
      </c>
      <c r="C22" s="3">
        <v>501.12417139000001</v>
      </c>
      <c r="D22" s="3">
        <v>594296</v>
      </c>
      <c r="E22" s="3">
        <v>813381</v>
      </c>
      <c r="F22" s="3">
        <v>500.49419999999998</v>
      </c>
      <c r="G22" s="3">
        <v>16.163999999999987</v>
      </c>
      <c r="H22" s="3">
        <v>1433.8349299174477</v>
      </c>
      <c r="I22" s="3">
        <v>1203362</v>
      </c>
      <c r="J22" s="3">
        <v>185467</v>
      </c>
      <c r="K22" s="23">
        <v>31.425466482997599</v>
      </c>
      <c r="L22" s="3">
        <v>9512</v>
      </c>
      <c r="M22" s="3">
        <v>4272</v>
      </c>
      <c r="N22" s="3">
        <v>6574271</v>
      </c>
    </row>
    <row r="23" spans="1:14" x14ac:dyDescent="0.25">
      <c r="A23" s="41" t="s">
        <v>21</v>
      </c>
      <c r="B23">
        <v>23</v>
      </c>
      <c r="C23" s="3">
        <v>678.11919991000013</v>
      </c>
      <c r="D23" s="3">
        <v>284009</v>
      </c>
      <c r="E23" s="3">
        <v>329332</v>
      </c>
      <c r="F23" s="3">
        <v>204.23699999999999</v>
      </c>
      <c r="G23" s="3">
        <v>14.765900000000016</v>
      </c>
      <c r="H23" s="3">
        <v>1700.6333132966415</v>
      </c>
      <c r="I23" s="3">
        <v>615467</v>
      </c>
      <c r="J23" s="3">
        <v>199105</v>
      </c>
      <c r="K23" s="23">
        <v>9.9156565859098329</v>
      </c>
      <c r="L23" s="3">
        <v>4449</v>
      </c>
      <c r="M23" s="3">
        <v>2478</v>
      </c>
      <c r="N23" s="3">
        <v>8920642</v>
      </c>
    </row>
    <row r="24" spans="1:14" x14ac:dyDescent="0.25">
      <c r="A24" s="41" t="s">
        <v>22</v>
      </c>
      <c r="B24">
        <v>12</v>
      </c>
      <c r="C24" s="3">
        <v>109.88351870000001</v>
      </c>
      <c r="D24" s="3">
        <v>178648</v>
      </c>
      <c r="E24" s="3">
        <v>224863</v>
      </c>
      <c r="F24" s="3">
        <v>136.41370000000001</v>
      </c>
      <c r="G24" s="3">
        <v>8.4762000000000057</v>
      </c>
      <c r="H24" s="3">
        <v>1580.14848252006</v>
      </c>
      <c r="I24" s="3">
        <v>402926</v>
      </c>
      <c r="J24" s="3">
        <v>109648</v>
      </c>
      <c r="K24" s="23">
        <v>20.190495629692954</v>
      </c>
      <c r="L24" s="3">
        <v>3686</v>
      </c>
      <c r="M24" s="3">
        <v>1816</v>
      </c>
      <c r="N24" s="3">
        <v>3023763</v>
      </c>
    </row>
    <row r="25" spans="1:14" x14ac:dyDescent="0.25">
      <c r="A25" s="41" t="s">
        <v>23</v>
      </c>
      <c r="B25">
        <v>19</v>
      </c>
      <c r="C25" s="3">
        <v>165.22739225999999</v>
      </c>
      <c r="D25" s="3">
        <v>392486</v>
      </c>
      <c r="E25" s="3">
        <v>496459</v>
      </c>
      <c r="F25" s="3">
        <v>310.7407</v>
      </c>
      <c r="G25" s="3">
        <v>13.212199999999996</v>
      </c>
      <c r="H25" s="3">
        <v>1492.2129826612365</v>
      </c>
      <c r="I25" s="3">
        <v>777724</v>
      </c>
      <c r="J25" s="3">
        <v>156244</v>
      </c>
      <c r="K25" s="23">
        <v>39.316867303557061</v>
      </c>
      <c r="L25" s="3">
        <v>7197</v>
      </c>
      <c r="M25" s="3">
        <v>2193</v>
      </c>
      <c r="N25" s="3">
        <v>4774634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 Inicial</vt:lpstr>
      <vt:lpstr>Diccionario</vt:lpstr>
      <vt:lpstr>Data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Velarde</dc:creator>
  <cp:lastModifiedBy>Liliana Velarde</cp:lastModifiedBy>
  <dcterms:created xsi:type="dcterms:W3CDTF">2026-05-21T17:32:28Z</dcterms:created>
  <dcterms:modified xsi:type="dcterms:W3CDTF">2026-05-31T18:00:03Z</dcterms:modified>
</cp:coreProperties>
</file>